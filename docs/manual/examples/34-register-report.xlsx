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etails" sheetId="1" state="visible" r:id="rId1"/>
    <sheet name="Report rows" sheetId="2" state="visible" r:id="rId2"/>
    <sheet name="Grouped summary" sheetId="3" state="visible" r:id="rId3"/>
  </sheets>
  <definedNames>
    <definedName name="_xlnm._FilterDatabase" localSheetId="1" hidden="1">'Report rows'!$A$5:$I$18</definedName>
    <definedName name="_xlnm.Print_Titles" localSheetId="1">'Report rows'!$5:$5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.00;[Red](#,##0.0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Receipts and payments (PKR)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'Grouped summary'!C5</f>
            </strRef>
          </tx>
          <spPr>
            <a:solidFill>
              <a:srgbClr val="176B61"/>
            </a:solidFill>
            <a:ln>
              <a:prstDash val="solid"/>
            </a:ln>
          </spPr>
          <cat>
            <numRef>
              <f>'Grouped summary'!$A$6:$A$8</f>
            </numRef>
          </cat>
          <val>
            <numRef>
              <f>'Grouped summary'!$C$6:$C$8</f>
            </numRef>
          </val>
        </ser>
        <ser>
          <idx val="1"/>
          <order val="1"/>
          <tx>
            <strRef>
              <f>'Grouped summary'!D5</f>
            </strRef>
          </tx>
          <spPr>
            <a:solidFill>
              <a:srgbClr val="94A3B8"/>
            </a:solidFill>
            <a:ln>
              <a:prstDash val="solid"/>
            </a:ln>
          </spPr>
          <cat>
            <numRef>
              <f>'Grouped summary'!$A$6:$A$8</f>
            </numRef>
          </cat>
          <val>
            <numRef>
              <f>'Grouped summary'!$D$6:$D$8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52575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52575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5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0</row>
      <rowOff>0</rowOff>
    </from>
    <ext cx="1552575" cy="609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B20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18" customHeight="1"/>
    <row r="2" ht="18" customHeight="1"/>
    <row r="3" ht="18" customHeight="1"/>
    <row r="4" ht="18" customHeight="1"/>
    <row r="5" ht="25" customHeight="1">
      <c r="A5" t="inlineStr">
        <is>
          <t>Company</t>
        </is>
      </c>
      <c r="B5" s="1" t="inlineStr">
        <is>
          <t>Muhammad Zakaria and Sons</t>
        </is>
      </c>
    </row>
    <row r="6" ht="25" customHeight="1">
      <c r="A6" t="inlineStr">
        <is>
          <t>Report</t>
        </is>
      </c>
      <c r="B6" s="1" t="inlineStr">
        <is>
          <t>Transaction activity — July to September 2026</t>
        </is>
      </c>
    </row>
    <row r="7" ht="25" customHeight="1">
      <c r="A7" t="inlineStr">
        <is>
          <t>Period</t>
        </is>
      </c>
      <c r="B7" s="1" t="inlineStr">
        <is>
          <t>Custom: 2026-07-01 to 2026-09-30</t>
        </is>
      </c>
    </row>
    <row r="8" ht="25" customHeight="1">
      <c r="A8" t="inlineStr">
        <is>
          <t>Filters</t>
        </is>
      </c>
      <c r="B8" s="1" t="inlineStr">
        <is>
          <t>All categories, projects, parties and cash/bank sources</t>
        </is>
      </c>
    </row>
    <row r="9" ht="25" customHeight="1">
      <c r="A9" t="inlineStr">
        <is>
          <t>Generated</t>
        </is>
      </c>
      <c r="B9" s="1" t="inlineStr">
        <is>
          <t>2026-09-20 19:55:48 PKT</t>
        </is>
      </c>
    </row>
    <row r="10" ht="25" customHeight="1">
      <c r="A10" t="inlineStr">
        <is>
          <t>Generated for</t>
        </is>
      </c>
      <c r="B10" s="1" t="inlineStr">
        <is>
          <t>finance.officer</t>
        </is>
      </c>
    </row>
    <row r="11" ht="25" customHeight="1">
      <c r="A11" t="inlineStr">
        <is>
          <t>Opening (PKR)</t>
        </is>
      </c>
      <c r="B11" s="1" t="inlineStr">
        <is>
          <t>0.00</t>
        </is>
      </c>
    </row>
    <row r="12" ht="25" customHeight="1">
      <c r="A12" t="inlineStr">
        <is>
          <t>Receipts (PKR)</t>
        </is>
      </c>
      <c r="B12" s="1" t="inlineStr">
        <is>
          <t>1325000.00</t>
        </is>
      </c>
    </row>
    <row r="13" ht="25" customHeight="1">
      <c r="A13" t="inlineStr">
        <is>
          <t>Payments (PKR)</t>
        </is>
      </c>
      <c r="B13" s="1" t="inlineStr">
        <is>
          <t>826150.00</t>
        </is>
      </c>
    </row>
    <row r="14" ht="25" customHeight="1">
      <c r="A14" t="inlineStr">
        <is>
          <t>Closing (PKR)</t>
        </is>
      </c>
      <c r="B14" s="1" t="inlineStr">
        <is>
          <t>498850.00</t>
        </is>
      </c>
    </row>
    <row r="15" ht="25" customHeight="1">
      <c r="A15" t="inlineStr">
        <is>
          <t>Net movement (PKR)</t>
        </is>
      </c>
      <c r="B15" s="1" t="inlineStr">
        <is>
          <t>498850.00</t>
        </is>
      </c>
    </row>
    <row r="16" ht="25" customHeight="1">
      <c r="A16" t="inlineStr">
        <is>
          <t>Transfers in (PKR)</t>
        </is>
      </c>
      <c r="B16" s="1" t="inlineStr">
        <is>
          <t>150000.00</t>
        </is>
      </c>
    </row>
    <row r="17" ht="25" customHeight="1">
      <c r="A17" t="inlineStr">
        <is>
          <t>Transfers out (PKR)</t>
        </is>
      </c>
      <c r="B17" s="1" t="inlineStr">
        <is>
          <t>150000.00</t>
        </is>
      </c>
    </row>
    <row r="18" ht="44" customHeight="1">
      <c r="A18" t="inlineStr">
        <is>
          <t>Basis</t>
        </is>
      </c>
      <c r="B18" s="1" t="inlineStr">
        <is>
          <t>Receipts less payments, plus transfers in less transfers out. Opening includes earlier recorded movement. Independent openings apply only to one selected account/category/project/party without additional filters; openings from different dimensions are never added together. Current revision excludes cancelled records. This is not profit, debt or a reconciled bank balance. Grouped detail can contain allocation rows from the same transaction.</t>
        </is>
      </c>
    </row>
    <row r="19" ht="25" customHeight="1">
      <c r="A19" t="inlineStr">
        <is>
          <t>Header</t>
        </is>
      </c>
      <c r="B19" s="1" t="inlineStr">
        <is>
          <t>Example data generated by scripts/build_manual_examples.py</t>
        </is>
      </c>
    </row>
    <row r="20" ht="25" customHeight="1">
      <c r="A20" t="inlineStr">
        <is>
          <t>Footer</t>
        </is>
      </c>
      <c r="B20" s="1" t="inlineStr">
        <is>
          <t>Example data only — not company accounts.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5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20" customWidth="1" min="8" max="8"/>
    <col width="20" customWidth="1" min="9" max="9"/>
  </cols>
  <sheetData>
    <row r="1" ht="18" customHeight="1"/>
    <row r="2" ht="18" customHeight="1"/>
    <row r="3" ht="18" customHeight="1"/>
    <row r="4" ht="18" customHeight="1"/>
    <row r="5" ht="32" customHeight="1">
      <c r="A5" s="2" t="inlineStr">
        <is>
          <t>Date</t>
        </is>
      </c>
      <c r="B5" s="2" t="inlineStr">
        <is>
          <t>Register reference</t>
        </is>
      </c>
      <c r="C5" s="2" t="inlineStr">
        <is>
          <t>Organization / person</t>
        </is>
      </c>
      <c r="D5" s="2" t="inlineStr">
        <is>
          <t>Category</t>
        </is>
      </c>
      <c r="E5" s="2" t="inlineStr">
        <is>
          <t>Project / contract</t>
        </is>
      </c>
      <c r="F5" s="2" t="inlineStr">
        <is>
          <t>Cash / bank source</t>
        </is>
      </c>
      <c r="G5" s="2" t="inlineStr">
        <is>
          <t>Receipts (PKR)</t>
        </is>
      </c>
      <c r="H5" s="2" t="inlineStr">
        <is>
          <t>Payments (PKR)</t>
        </is>
      </c>
      <c r="I5" s="2" t="inlineStr">
        <is>
          <t>Running balance (PKR)</t>
        </is>
      </c>
    </row>
    <row r="6">
      <c r="A6" s="3" t="n">
        <v>46207</v>
      </c>
      <c r="B6" s="1" t="inlineStr">
        <is>
          <t>REG-000001</t>
        </is>
      </c>
      <c r="C6" s="1" t="inlineStr">
        <is>
          <t>Capital Builders (Pvt) Ltd</t>
        </is>
      </c>
      <c r="D6" s="1" t="inlineStr">
        <is>
          <t>Client receipts</t>
        </is>
      </c>
      <c r="E6" s="1" t="inlineStr">
        <is>
          <t>G-11 Markaz office fit-out</t>
        </is>
      </c>
      <c r="F6" s="1" t="inlineStr">
        <is>
          <t>Main cash box</t>
        </is>
      </c>
      <c r="G6" s="4" t="n">
        <v>400000</v>
      </c>
      <c r="H6" s="4" t="n">
        <v>0</v>
      </c>
      <c r="I6" s="4" t="n">
        <v>400000</v>
      </c>
    </row>
    <row r="7">
      <c r="A7" s="3" t="n">
        <v>46209</v>
      </c>
      <c r="B7" s="1" t="inlineStr">
        <is>
          <t>REG-000002</t>
        </is>
      </c>
      <c r="C7" s="1" t="inlineStr">
        <is>
          <t>Al-Rehman Traders</t>
        </is>
      </c>
      <c r="D7" s="1" t="inlineStr">
        <is>
          <t>Materials</t>
        </is>
      </c>
      <c r="E7" s="1" t="inlineStr">
        <is>
          <t>G-11 Markaz office fit-out</t>
        </is>
      </c>
      <c r="F7" s="1" t="inlineStr">
        <is>
          <t>Main cash box</t>
        </is>
      </c>
      <c r="G7" s="4" t="n">
        <v>0</v>
      </c>
      <c r="H7" s="4" t="n">
        <v>135500</v>
      </c>
      <c r="I7" s="4" t="n">
        <v>264500</v>
      </c>
    </row>
    <row r="8">
      <c r="A8" s="3" t="n">
        <v>46221</v>
      </c>
      <c r="B8" s="1" t="inlineStr">
        <is>
          <t>REG-000003</t>
        </is>
      </c>
      <c r="C8" s="1" t="inlineStr">
        <is>
          <t>Riaz Masood</t>
        </is>
      </c>
      <c r="D8" s="1" t="inlineStr">
        <is>
          <t>Labour and wages</t>
        </is>
      </c>
      <c r="E8" s="1" t="inlineStr">
        <is>
          <t>G-11 Markaz office fit-out</t>
        </is>
      </c>
      <c r="F8" s="1" t="inlineStr">
        <is>
          <t>Main cash box</t>
        </is>
      </c>
      <c r="G8" s="4" t="n">
        <v>0</v>
      </c>
      <c r="H8" s="4" t="n">
        <v>86000</v>
      </c>
      <c r="I8" s="4" t="n">
        <v>178500</v>
      </c>
    </row>
    <row r="9">
      <c r="A9" s="3" t="n">
        <v>46236</v>
      </c>
      <c r="B9" s="1" t="inlineStr">
        <is>
          <t>REG-000004</t>
        </is>
      </c>
      <c r="C9" s="1" t="inlineStr">
        <is>
          <t>Capital Builders (Pvt) Ltd</t>
        </is>
      </c>
      <c r="D9" s="1" t="inlineStr">
        <is>
          <t>Client receipts</t>
        </is>
      </c>
      <c r="E9" s="1" t="inlineStr">
        <is>
          <t>Boundary wall — Phase II</t>
        </is>
      </c>
      <c r="F9" s="1" t="inlineStr">
        <is>
          <t>Bank current account</t>
        </is>
      </c>
      <c r="G9" s="4" t="n">
        <v>650000</v>
      </c>
      <c r="H9" s="4" t="n">
        <v>0</v>
      </c>
      <c r="I9" s="4" t="n">
        <v>828500</v>
      </c>
    </row>
    <row r="10">
      <c r="A10" s="3" t="n">
        <v>46243</v>
      </c>
      <c r="B10" s="1" t="inlineStr">
        <is>
          <t>REG-000005</t>
        </is>
      </c>
      <c r="C10" s="1" t="inlineStr">
        <is>
          <t>Attock filling station</t>
        </is>
      </c>
      <c r="D10" s="1" t="inlineStr">
        <is>
          <t>Fuel and transport</t>
        </is>
      </c>
      <c r="E10" s="1" t="inlineStr">
        <is>
          <t>Boundary wall — Phase II</t>
        </is>
      </c>
      <c r="F10" s="1" t="inlineStr">
        <is>
          <t>Main cash box</t>
        </is>
      </c>
      <c r="G10" s="4" t="n">
        <v>0</v>
      </c>
      <c r="H10" s="4" t="n">
        <v>24300</v>
      </c>
      <c r="I10" s="4" t="n">
        <v>804200</v>
      </c>
    </row>
    <row r="11">
      <c r="A11" s="3" t="n">
        <v>46257</v>
      </c>
      <c r="B11" s="1" t="inlineStr">
        <is>
          <t>REG-000006</t>
        </is>
      </c>
      <c r="C11" s="1" t="inlineStr">
        <is>
          <t>Example Utilities</t>
        </is>
      </c>
      <c r="D11" s="1" t="inlineStr">
        <is>
          <t>Office and administration</t>
        </is>
      </c>
      <c r="E11" s="1" t="inlineStr">
        <is>
          <t>Unassigned</t>
        </is>
      </c>
      <c r="F11" s="1" t="inlineStr">
        <is>
          <t>Bank current account</t>
        </is>
      </c>
      <c r="G11" s="4" t="n">
        <v>0</v>
      </c>
      <c r="H11" s="4" t="n">
        <v>38750</v>
      </c>
      <c r="I11" s="4" t="n">
        <v>765450</v>
      </c>
    </row>
    <row r="12">
      <c r="A12" s="3" t="n">
        <v>46270</v>
      </c>
      <c r="B12" s="1" t="inlineStr">
        <is>
          <t>REG-000007</t>
        </is>
      </c>
      <c r="C12" s="1" t="inlineStr">
        <is>
          <t>Riaz Masood</t>
        </is>
      </c>
      <c r="D12" s="1" t="inlineStr">
        <is>
          <t>Labour and wages</t>
        </is>
      </c>
      <c r="E12" s="1" t="inlineStr">
        <is>
          <t>Boundary wall — Phase II</t>
        </is>
      </c>
      <c r="F12" s="1" t="inlineStr">
        <is>
          <t>Main cash box</t>
        </is>
      </c>
      <c r="G12" s="4" t="n">
        <v>0</v>
      </c>
      <c r="H12" s="4" t="n">
        <v>94000</v>
      </c>
      <c r="I12" s="4" t="n">
        <v>671450</v>
      </c>
    </row>
    <row r="13">
      <c r="A13" s="3" t="n">
        <v>46277</v>
      </c>
      <c r="B13" s="1" t="inlineStr">
        <is>
          <t>REG-000008</t>
        </is>
      </c>
      <c r="C13" s="1" t="inlineStr">
        <is>
          <t>Al-Rehman Traders</t>
        </is>
      </c>
      <c r="D13" s="1" t="inlineStr">
        <is>
          <t>Materials</t>
        </is>
      </c>
      <c r="E13" s="1" t="inlineStr">
        <is>
          <t>G-11 Markaz office fit-out, Boundary wall — Phase II</t>
        </is>
      </c>
      <c r="F13" s="1" t="inlineStr">
        <is>
          <t>Bank current account</t>
        </is>
      </c>
      <c r="G13" s="4" t="n">
        <v>0</v>
      </c>
      <c r="H13" s="4" t="n">
        <v>300000</v>
      </c>
      <c r="I13" s="4" t="n">
        <v>371450</v>
      </c>
    </row>
    <row r="14">
      <c r="A14" s="3" t="n">
        <v>46280</v>
      </c>
      <c r="B14" s="1" t="inlineStr">
        <is>
          <t>TRF-000002</t>
        </is>
      </c>
      <c r="C14" s="1" t="inlineStr">
        <is>
          <t>Own-account transfer</t>
        </is>
      </c>
      <c r="D14" s="1" t="inlineStr">
        <is>
          <t>Internal transfer</t>
        </is>
      </c>
      <c r="E14" s="1" t="inlineStr">
        <is>
          <t>Unassigned</t>
        </is>
      </c>
      <c r="F14" s="1" t="inlineStr">
        <is>
          <t>Main cash box → Bank current account</t>
        </is>
      </c>
      <c r="G14" s="4" t="n">
        <v>0</v>
      </c>
      <c r="H14" s="4" t="n">
        <v>0</v>
      </c>
      <c r="I14" s="4" t="n">
        <v>371450</v>
      </c>
    </row>
    <row r="15">
      <c r="A15" s="3" t="n">
        <v>46284</v>
      </c>
      <c r="B15" s="1" t="inlineStr">
        <is>
          <t>REG-000009</t>
        </is>
      </c>
      <c r="C15" s="1" t="inlineStr">
        <is>
          <t>Blue Area Stationers</t>
        </is>
      </c>
      <c r="D15" s="1" t="inlineStr">
        <is>
          <t>Office and administration</t>
        </is>
      </c>
      <c r="E15" s="1" t="inlineStr">
        <is>
          <t>Unassigned</t>
        </is>
      </c>
      <c r="F15" s="1" t="inlineStr">
        <is>
          <t>Main cash box</t>
        </is>
      </c>
      <c r="G15" s="4" t="n">
        <v>0</v>
      </c>
      <c r="H15" s="4" t="n">
        <v>12400</v>
      </c>
      <c r="I15" s="4" t="n">
        <v>359050</v>
      </c>
    </row>
    <row r="16">
      <c r="A16" s="3" t="n">
        <v>46287</v>
      </c>
      <c r="B16" s="1" t="inlineStr">
        <is>
          <t>REG-000011</t>
        </is>
      </c>
      <c r="C16" s="1" t="inlineStr">
        <is>
          <t>Capital Builders (Pvt) Ltd</t>
        </is>
      </c>
      <c r="D16" s="1" t="inlineStr">
        <is>
          <t>Client receipts</t>
        </is>
      </c>
      <c r="E16" s="1" t="inlineStr">
        <is>
          <t>Unassigned</t>
        </is>
      </c>
      <c r="F16" s="1" t="inlineStr">
        <is>
          <t>Bank current account</t>
        </is>
      </c>
      <c r="G16" s="4" t="n">
        <v>275000</v>
      </c>
      <c r="H16" s="4" t="n">
        <v>0</v>
      </c>
      <c r="I16" s="4" t="n">
        <v>634050</v>
      </c>
    </row>
    <row r="17">
      <c r="A17" s="3" t="n">
        <v>46289</v>
      </c>
      <c r="B17" s="1" t="inlineStr">
        <is>
          <t>REG-000012</t>
        </is>
      </c>
      <c r="C17" s="1" t="inlineStr">
        <is>
          <t>Al-Rehman Traders</t>
        </is>
      </c>
      <c r="D17" s="1" t="inlineStr">
        <is>
          <t>Materials</t>
        </is>
      </c>
      <c r="E17" s="1" t="inlineStr">
        <is>
          <t>Unassigned</t>
        </is>
      </c>
      <c r="F17" s="1" t="inlineStr">
        <is>
          <t>Main cash box</t>
        </is>
      </c>
      <c r="G17" s="4" t="n">
        <v>0</v>
      </c>
      <c r="H17" s="4" t="n">
        <v>64200</v>
      </c>
      <c r="I17" s="4" t="n">
        <v>569850</v>
      </c>
    </row>
    <row r="18">
      <c r="A18" s="3" t="n">
        <v>46291</v>
      </c>
      <c r="B18" s="1" t="inlineStr">
        <is>
          <t>REG-000013</t>
        </is>
      </c>
      <c r="C18" s="1" t="inlineStr">
        <is>
          <t>Riaz Masood</t>
        </is>
      </c>
      <c r="D18" s="1" t="inlineStr">
        <is>
          <t>Labour and wages</t>
        </is>
      </c>
      <c r="E18" s="1" t="inlineStr">
        <is>
          <t>Unassigned</t>
        </is>
      </c>
      <c r="F18" s="1" t="inlineStr">
        <is>
          <t>Main cash box</t>
        </is>
      </c>
      <c r="G18" s="4" t="n">
        <v>0</v>
      </c>
      <c r="H18" s="4" t="n">
        <v>71000</v>
      </c>
      <c r="I18" s="4" t="n">
        <v>498850</v>
      </c>
    </row>
  </sheetData>
  <autoFilter ref="A5:I18"/>
  <printOptions horizontalCentered="1"/>
  <pageMargins left="0.75" right="0.75" top="1" bottom="1" header="0.5" footer="0.5"/>
  <pageSetup orientation="landscape" paperSize="9" fitToHeight="0" fitToWidth="1"/>
  <headerFooter>
    <oddHeader>&amp;CTransaction activity — July to September 2026</oddHeader>
    <oddFooter>&amp;LExample data only — not company accounts.&amp;RPage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18" customHeight="1"/>
    <row r="2" ht="18" customHeight="1"/>
    <row r="3" ht="18" customHeight="1"/>
    <row r="4" ht="18" customHeight="1"/>
    <row r="5" ht="32" customHeight="1">
      <c r="A5" s="2" t="inlineStr">
        <is>
          <t>Group</t>
        </is>
      </c>
      <c r="B5" s="2" t="inlineStr">
        <is>
          <t>Statement rows</t>
        </is>
      </c>
      <c r="C5" s="2" t="inlineStr">
        <is>
          <t>Receipts (PKR)</t>
        </is>
      </c>
      <c r="D5" s="2" t="inlineStr">
        <is>
          <t>Payments (PKR)</t>
        </is>
      </c>
      <c r="E5" s="2" t="inlineStr">
        <is>
          <t>Transfers in (PKR)</t>
        </is>
      </c>
      <c r="F5" s="2" t="inlineStr">
        <is>
          <t>Transfers out (PKR)</t>
        </is>
      </c>
      <c r="G5" s="2" t="inlineStr">
        <is>
          <t>Net movement (PKR)</t>
        </is>
      </c>
    </row>
    <row r="6">
      <c r="A6" t="inlineStr">
        <is>
          <t>2026-07</t>
        </is>
      </c>
      <c r="B6" t="n">
        <v>3</v>
      </c>
      <c r="C6" s="5" t="n">
        <v>400000</v>
      </c>
      <c r="D6" s="5" t="n">
        <v>221500</v>
      </c>
      <c r="E6" s="5" t="n">
        <v>0</v>
      </c>
      <c r="F6" s="5" t="n">
        <v>0</v>
      </c>
      <c r="G6" s="5" t="n">
        <v>178500</v>
      </c>
    </row>
    <row r="7">
      <c r="A7" t="inlineStr">
        <is>
          <t>2026-08</t>
        </is>
      </c>
      <c r="B7" t="n">
        <v>3</v>
      </c>
      <c r="C7" s="5" t="n">
        <v>650000</v>
      </c>
      <c r="D7" s="5" t="n">
        <v>63050</v>
      </c>
      <c r="E7" s="5" t="n">
        <v>0</v>
      </c>
      <c r="F7" s="5" t="n">
        <v>0</v>
      </c>
      <c r="G7" s="5" t="n">
        <v>586950</v>
      </c>
    </row>
    <row r="8">
      <c r="A8" t="inlineStr">
        <is>
          <t>2026-09</t>
        </is>
      </c>
      <c r="B8" t="n">
        <v>7</v>
      </c>
      <c r="C8" s="5" t="n">
        <v>275000</v>
      </c>
      <c r="D8" s="5" t="n">
        <v>541600</v>
      </c>
      <c r="E8" s="5" t="n">
        <v>150000</v>
      </c>
      <c r="F8" s="5" t="n">
        <v>150000</v>
      </c>
      <c r="G8" s="5" t="n">
        <v>-266600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2026-09-20T14:55:48Z</dcterms:created>
  <dcterms:modified xsi:type="dcterms:W3CDTF">2026-09-20T14:55:48Z</dcterms:modified>
</cp:coreProperties>
</file>